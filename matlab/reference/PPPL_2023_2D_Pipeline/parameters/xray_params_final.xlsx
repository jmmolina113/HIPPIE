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molina/Documents/Research/Magnetic Reconnection Work [SULI 2021 - Fall 2022]/PPPL Summer 2022/carePackageForVicente/2D Pipeline/parameters/"/>
    </mc:Choice>
  </mc:AlternateContent>
  <xr:revisionPtr revIDLastSave="0" documentId="13_ncr:1_{B9AA7B40-18A4-E34D-B86B-CBAF7A13200B}" xr6:coauthVersionLast="47" xr6:coauthVersionMax="47" xr10:uidLastSave="{00000000-0000-0000-0000-000000000000}"/>
  <bookViews>
    <workbookView xWindow="17400" yWindow="740" windowWidth="17160" windowHeight="21600" xr2:uid="{0143657B-5196-4CA4-9262-8B6993C9E498}"/>
  </bookViews>
  <sheets>
    <sheet name="New Formatting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" i="3" l="1"/>
  <c r="C2" i="3"/>
  <c r="D2" i="3"/>
  <c r="E2" i="3"/>
  <c r="F2" i="3"/>
  <c r="G2" i="3"/>
  <c r="H2" i="3"/>
  <c r="I2" i="3"/>
  <c r="J2" i="3"/>
  <c r="K2" i="3"/>
  <c r="L2" i="3"/>
  <c r="M2" i="3"/>
  <c r="N2" i="3"/>
  <c r="P2" i="3"/>
  <c r="B2" i="3"/>
  <c r="P68" i="3"/>
  <c r="P67" i="3"/>
  <c r="P66" i="3"/>
  <c r="P65" i="3"/>
  <c r="P64" i="3"/>
  <c r="P63" i="3"/>
  <c r="P62" i="3"/>
  <c r="P61" i="3"/>
  <c r="P60" i="3"/>
  <c r="P59" i="3"/>
  <c r="P58" i="3"/>
  <c r="P57" i="3"/>
  <c r="D51" i="3"/>
  <c r="D50" i="3"/>
  <c r="D49" i="3"/>
  <c r="D48" i="3"/>
  <c r="D47" i="3"/>
  <c r="D46" i="3"/>
  <c r="D45" i="3"/>
  <c r="D44" i="3"/>
  <c r="D43" i="3"/>
  <c r="D42" i="3"/>
  <c r="D41" i="3"/>
  <c r="D40" i="3"/>
  <c r="D34" i="3"/>
  <c r="D33" i="3"/>
  <c r="D32" i="3"/>
  <c r="D31" i="3"/>
  <c r="D30" i="3"/>
  <c r="D29" i="3"/>
  <c r="D28" i="3"/>
  <c r="D27" i="3"/>
  <c r="D26" i="3"/>
  <c r="D25" i="3"/>
  <c r="D24" i="3"/>
  <c r="D23" i="3"/>
</calcChain>
</file>

<file path=xl/sharedStrings.xml><?xml version="1.0" encoding="utf-8"?>
<sst xmlns="http://schemas.openxmlformats.org/spreadsheetml/2006/main" count="453" uniqueCount="138">
  <si>
    <t>expr</t>
  </si>
  <si>
    <t>date</t>
  </si>
  <si>
    <t>seq</t>
  </si>
  <si>
    <t>ints</t>
  </si>
  <si>
    <t>port</t>
  </si>
  <si>
    <t>camera</t>
  </si>
  <si>
    <t>t0</t>
  </si>
  <si>
    <t>mag</t>
  </si>
  <si>
    <t>dt</t>
  </si>
  <si>
    <t>vpulse</t>
  </si>
  <si>
    <t>ang</t>
  </si>
  <si>
    <t>mirror</t>
  </si>
  <si>
    <t>npinholes</t>
  </si>
  <si>
    <t>nrow</t>
  </si>
  <si>
    <t>ncol</t>
  </si>
  <si>
    <t>pinholes</t>
  </si>
  <si>
    <t>filter_mat</t>
  </si>
  <si>
    <t>filter_thk</t>
  </si>
  <si>
    <t>cal_shot</t>
  </si>
  <si>
    <t>strip_dir</t>
  </si>
  <si>
    <t>ccd_xwidth</t>
  </si>
  <si>
    <t>00-000</t>
  </si>
  <si>
    <t>HGXD2F</t>
  </si>
  <si>
    <t>[0.0,0.3,0.6,0.9]</t>
  </si>
  <si>
    <t>[0.0,0.5,1.0,1.5]</t>
  </si>
  <si>
    <t>90-315</t>
  </si>
  <si>
    <t>RGXD3F</t>
  </si>
  <si>
    <t>horz</t>
  </si>
  <si>
    <t>[0.0,0.5,1.4,1.4]</t>
  </si>
  <si>
    <t>ccd_ywdith</t>
  </si>
  <si>
    <t>[0.0,0.0,0.2,0.9]</t>
  </si>
  <si>
    <t>Be</t>
  </si>
  <si>
    <t>GXD3F</t>
  </si>
  <si>
    <t>cal_cam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</si>
  <si>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</si>
  <si>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</si>
  <si>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</si>
  <si>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</si>
  <si>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</si>
  <si>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</si>
  <si>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</si>
  <si>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</si>
  <si>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</si>
  <si>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</si>
  <si>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</si>
  <si>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</si>
  <si>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</si>
  <si>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</si>
  <si>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</si>
  <si>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</si>
  <si>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</si>
  <si>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</si>
  <si>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</si>
  <si>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</si>
  <si>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</si>
  <si>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</si>
  <si>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</si>
  <si>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</si>
  <si>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</si>
  <si>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</si>
  <si>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m12</t>
  </si>
  <si>
    <t>m13</t>
  </si>
  <si>
    <t>m14</t>
  </si>
  <si>
    <t>m15</t>
  </si>
  <si>
    <t>m16</t>
  </si>
  <si>
    <t>m11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</si>
  <si>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</si>
  <si>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</si>
  <si>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</si>
  <si>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</si>
  <si>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</si>
  <si>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</si>
  <si>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</si>
  <si>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</si>
  <si>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</si>
  <si>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</si>
  <si>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</si>
  <si>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</si>
  <si>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</si>
  <si>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</si>
  <si>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</si>
  <si>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</si>
  <si>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P</t>
  </si>
  <si>
    <t>Be,P</t>
  </si>
  <si>
    <t>[0.0,0.5,1.0]</t>
  </si>
  <si>
    <t>90-78</t>
  </si>
  <si>
    <t>WGXD4F</t>
  </si>
  <si>
    <t>vert</t>
  </si>
  <si>
    <t>[0.0,0.8,1.6,2.4]</t>
  </si>
  <si>
    <t>90-124</t>
  </si>
  <si>
    <t>TWGXD3F</t>
  </si>
  <si>
    <t>[0.0,0.4,0.8,1.2]</t>
  </si>
  <si>
    <t>[0.0,0.0,2.0,2.0]</t>
  </si>
  <si>
    <t>Al</t>
  </si>
  <si>
    <t>[0.0,0.6,1.2,1.8]</t>
  </si>
  <si>
    <t>[0.0,0.0,1.0,1.0]</t>
  </si>
  <si>
    <t>Al,Be</t>
  </si>
  <si>
    <t>GXD4F</t>
  </si>
  <si>
    <t>[0.0,0.0,0.5,0.5]</t>
  </si>
  <si>
    <t>180917_002</t>
  </si>
  <si>
    <t>191110_002</t>
  </si>
  <si>
    <t>130319_002</t>
  </si>
  <si>
    <t>180513_001_00-000</t>
  </si>
  <si>
    <t>180513_001_90-315</t>
  </si>
  <si>
    <t>180513_002_00-000</t>
  </si>
  <si>
    <t>180513_002_90-315</t>
  </si>
  <si>
    <t>180513_003_90-315</t>
  </si>
  <si>
    <t>Date_Seq_Port</t>
  </si>
  <si>
    <t>191113_003_90-78</t>
  </si>
  <si>
    <t>191114_001_90-78</t>
  </si>
  <si>
    <t>201117_004_90-78</t>
  </si>
  <si>
    <t>210317_001_90-78</t>
  </si>
  <si>
    <t>210317_002_90-78</t>
  </si>
  <si>
    <t>210317_002_90-124</t>
  </si>
  <si>
    <t>210317_001_90-124</t>
  </si>
  <si>
    <t>191114_002_90-124</t>
  </si>
  <si>
    <t>191114_001_90-124</t>
  </si>
  <si>
    <t>191113_003_90-124</t>
  </si>
  <si>
    <t>25,30</t>
  </si>
  <si>
    <t>25,31</t>
  </si>
  <si>
    <t>3.22,12.5</t>
  </si>
  <si>
    <t>3.22,25</t>
  </si>
  <si>
    <t>3,12.5</t>
  </si>
  <si>
    <t>3,25</t>
  </si>
  <si>
    <t>220223_001_90-78</t>
  </si>
  <si>
    <t>220223_003_90-78</t>
  </si>
  <si>
    <t>220223_004_90-78</t>
  </si>
  <si>
    <t>RGXD4F</t>
  </si>
  <si>
    <t>[3.5,3.5,1.5,1.5]</t>
  </si>
  <si>
    <t>[4.5,4.5,2.5,2.5]</t>
  </si>
  <si>
    <t>[5.5,5.5,1.5,1.5]</t>
  </si>
  <si>
    <t>?</t>
  </si>
  <si>
    <t>Poly,Al</t>
  </si>
  <si>
    <t>Poly</t>
  </si>
  <si>
    <t>4,2</t>
  </si>
  <si>
    <t>29,2</t>
  </si>
  <si>
    <t>54,2</t>
  </si>
  <si>
    <t>210103_002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</si>
</sst>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/>
    <xf numFmtId="11" fontId="0" fillId="0" borderId="0" xfId="0" applyNumberFormat="1"/>
    <xf numFmtId="11" fontId="0" fillId="0" borderId="0" xfId="0" quotePrefix="1" applyNumberFormat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4" borderId="0" xfId="0" quotePrefix="1" applyFill="1"/>
    <xf numFmtId="11" fontId="0" fillId="4" borderId="0" xfId="0" applyNumberFormat="1" applyFill="1"/>
    <xf numFmtId="0" fontId="0" fillId="5" borderId="0" xfId="0" applyFill="1"/>
    <xf numFmtId="0" fontId="0" fillId="5" borderId="0" xfId="0" quotePrefix="1" applyFill="1"/>
    <xf numFmtId="11" fontId="0" fillId="5" borderId="0" xfId="0" applyNumberFormat="1" applyFill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3" fontId="0" fillId="0" borderId="0" xfId="0" applyNumberFormat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6C3ED-A59A-413F-B52D-5677148015AB}">
  <dimension ref="A1:BF79"/>
  <sheetViews>
    <sheetView tabSelected="1" topLeftCell="H1" zoomScale="130" zoomScaleNormal="130" workbookViewId="0">
      <selection activeCell="M1" sqref="M1:M1048576"/>
    </sheetView>
  </sheetViews>
  <sheetFormatPr baseColWidth="10" defaultColWidth="8.83203125" defaultRowHeight="15" x14ac:dyDescent="0.2"/>
  <cols>
    <col min="1" max="1" width="14.33203125" bestFit="1" customWidth="1"/>
    <col min="2" max="6" width="19.33203125" bestFit="1" customWidth="1"/>
    <col min="7" max="7" width="18.33203125" customWidth="1"/>
    <col min="8" max="8" width="19.33203125" bestFit="1" customWidth="1"/>
    <col min="9" max="9" width="18" style="6" bestFit="1" customWidth="1"/>
    <col min="10" max="11" width="19.33203125" bestFit="1" customWidth="1"/>
    <col min="12" max="13" width="18" style="9" bestFit="1" customWidth="1"/>
    <col min="14" max="14" width="19.33203125" bestFit="1" customWidth="1"/>
    <col min="15" max="15" width="18" style="9" bestFit="1" customWidth="1"/>
    <col min="16" max="16" width="19.33203125" bestFit="1" customWidth="1"/>
    <col min="17" max="19" width="16.5" bestFit="1" customWidth="1"/>
  </cols>
  <sheetData>
    <row r="1" spans="1:19" x14ac:dyDescent="0.2">
      <c r="A1" t="s">
        <v>107</v>
      </c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108</v>
      </c>
      <c r="H1" t="s">
        <v>117</v>
      </c>
      <c r="I1" s="6" t="s">
        <v>109</v>
      </c>
      <c r="J1" t="s">
        <v>116</v>
      </c>
      <c r="K1" t="s">
        <v>115</v>
      </c>
      <c r="L1" s="9" t="s">
        <v>110</v>
      </c>
      <c r="M1" s="9" t="s">
        <v>111</v>
      </c>
      <c r="N1" t="s">
        <v>114</v>
      </c>
      <c r="O1" s="9" t="s">
        <v>112</v>
      </c>
      <c r="P1" t="s">
        <v>113</v>
      </c>
      <c r="Q1" t="s">
        <v>124</v>
      </c>
      <c r="R1" t="s">
        <v>125</v>
      </c>
      <c r="S1" t="s">
        <v>126</v>
      </c>
    </row>
    <row r="2" spans="1:19" x14ac:dyDescent="0.2">
      <c r="A2" t="s">
        <v>0</v>
      </c>
      <c r="B2" s="1" t="str">
        <f>B1</f>
        <v>180513_001_00-000</v>
      </c>
      <c r="C2" s="1" t="str">
        <f t="shared" ref="C2:P2" si="0">C1</f>
        <v>180513_001_90-315</v>
      </c>
      <c r="D2" s="1" t="str">
        <f t="shared" si="0"/>
        <v>180513_002_00-000</v>
      </c>
      <c r="E2" s="1" t="str">
        <f t="shared" si="0"/>
        <v>180513_002_90-315</v>
      </c>
      <c r="F2" s="1" t="str">
        <f t="shared" si="0"/>
        <v>180513_003_90-315</v>
      </c>
      <c r="G2" s="1" t="str">
        <f t="shared" si="0"/>
        <v>191113_003_90-78</v>
      </c>
      <c r="H2" s="1" t="str">
        <f t="shared" si="0"/>
        <v>191113_003_90-124</v>
      </c>
      <c r="I2" s="7" t="str">
        <f t="shared" si="0"/>
        <v>191114_001_90-78</v>
      </c>
      <c r="J2" s="1" t="str">
        <f t="shared" si="0"/>
        <v>191114_001_90-124</v>
      </c>
      <c r="K2" s="1" t="str">
        <f t="shared" si="0"/>
        <v>191114_002_90-124</v>
      </c>
      <c r="L2" s="10" t="str">
        <f t="shared" si="0"/>
        <v>201117_004_90-78</v>
      </c>
      <c r="M2" s="10" t="str">
        <f t="shared" si="0"/>
        <v>210317_001_90-78</v>
      </c>
      <c r="N2" s="1" t="str">
        <f t="shared" si="0"/>
        <v>210317_001_90-124</v>
      </c>
      <c r="O2" s="10" t="str">
        <f t="shared" si="0"/>
        <v>210317_002_90-78</v>
      </c>
      <c r="P2" s="1" t="str">
        <f t="shared" si="0"/>
        <v>210317_002_90-124</v>
      </c>
      <c r="Q2" t="s">
        <v>124</v>
      </c>
      <c r="R2" t="s">
        <v>125</v>
      </c>
      <c r="S2" t="s">
        <v>126</v>
      </c>
    </row>
    <row r="3" spans="1:19" x14ac:dyDescent="0.2">
      <c r="A3" t="s">
        <v>1</v>
      </c>
      <c r="B3" s="1">
        <v>180513</v>
      </c>
      <c r="C3" s="1">
        <v>180513</v>
      </c>
      <c r="D3" s="1">
        <v>180513</v>
      </c>
      <c r="E3" s="1">
        <v>180513</v>
      </c>
      <c r="F3">
        <v>180513</v>
      </c>
      <c r="G3">
        <v>191113</v>
      </c>
      <c r="H3">
        <v>191113</v>
      </c>
      <c r="I3" s="6">
        <v>191114</v>
      </c>
      <c r="J3">
        <v>191114</v>
      </c>
      <c r="K3">
        <v>191114</v>
      </c>
      <c r="L3" s="9">
        <v>201117</v>
      </c>
      <c r="M3" s="9">
        <v>210317</v>
      </c>
      <c r="N3">
        <v>210317</v>
      </c>
      <c r="O3" s="9">
        <v>210317</v>
      </c>
      <c r="P3">
        <v>210317</v>
      </c>
      <c r="Q3">
        <v>220223</v>
      </c>
      <c r="R3">
        <v>220223</v>
      </c>
      <c r="S3">
        <v>220223</v>
      </c>
    </row>
    <row r="4" spans="1:19" x14ac:dyDescent="0.2">
      <c r="A4" t="s">
        <v>2</v>
      </c>
      <c r="B4" s="1">
        <v>1</v>
      </c>
      <c r="C4" s="1">
        <v>1</v>
      </c>
      <c r="D4">
        <v>2</v>
      </c>
      <c r="E4">
        <v>2</v>
      </c>
      <c r="F4">
        <v>3</v>
      </c>
      <c r="G4">
        <v>3</v>
      </c>
      <c r="H4">
        <v>3</v>
      </c>
      <c r="I4" s="6">
        <v>1</v>
      </c>
      <c r="J4">
        <v>1</v>
      </c>
      <c r="K4">
        <v>2</v>
      </c>
      <c r="L4" s="9">
        <v>4</v>
      </c>
      <c r="M4" s="9">
        <v>1</v>
      </c>
      <c r="N4">
        <v>1</v>
      </c>
      <c r="O4" s="9">
        <v>2</v>
      </c>
      <c r="P4">
        <v>2</v>
      </c>
      <c r="Q4">
        <v>1</v>
      </c>
      <c r="R4">
        <v>3</v>
      </c>
      <c r="S4">
        <v>4</v>
      </c>
    </row>
    <row r="5" spans="1:19" x14ac:dyDescent="0.2">
      <c r="A5" t="s">
        <v>4</v>
      </c>
      <c r="B5" t="s">
        <v>21</v>
      </c>
      <c r="C5" t="s">
        <v>25</v>
      </c>
      <c r="D5" t="s">
        <v>21</v>
      </c>
      <c r="E5" t="s">
        <v>25</v>
      </c>
      <c r="F5" t="s">
        <v>25</v>
      </c>
      <c r="G5" t="s">
        <v>85</v>
      </c>
      <c r="H5" t="s">
        <v>89</v>
      </c>
      <c r="I5" s="6" t="s">
        <v>85</v>
      </c>
      <c r="J5" t="s">
        <v>89</v>
      </c>
      <c r="K5" t="s">
        <v>89</v>
      </c>
      <c r="L5" s="9" t="s">
        <v>85</v>
      </c>
      <c r="M5" s="9" t="s">
        <v>85</v>
      </c>
      <c r="N5" t="s">
        <v>89</v>
      </c>
      <c r="O5" s="9" t="s">
        <v>85</v>
      </c>
      <c r="P5" t="s">
        <v>89</v>
      </c>
      <c r="Q5" t="s">
        <v>85</v>
      </c>
      <c r="R5" t="s">
        <v>85</v>
      </c>
      <c r="S5" t="s">
        <v>85</v>
      </c>
    </row>
    <row r="6" spans="1:19" x14ac:dyDescent="0.2">
      <c r="A6" t="s">
        <v>5</v>
      </c>
      <c r="B6" t="s">
        <v>22</v>
      </c>
      <c r="C6" t="s">
        <v>26</v>
      </c>
      <c r="D6" t="s">
        <v>22</v>
      </c>
      <c r="E6" t="s">
        <v>26</v>
      </c>
      <c r="F6" t="s">
        <v>26</v>
      </c>
      <c r="G6" t="s">
        <v>86</v>
      </c>
      <c r="H6" t="s">
        <v>90</v>
      </c>
      <c r="I6" s="6" t="s">
        <v>86</v>
      </c>
      <c r="J6" t="s">
        <v>90</v>
      </c>
      <c r="K6" t="s">
        <v>90</v>
      </c>
      <c r="L6" s="9" t="s">
        <v>86</v>
      </c>
      <c r="M6" s="9" t="s">
        <v>97</v>
      </c>
      <c r="N6" t="s">
        <v>32</v>
      </c>
      <c r="O6" s="9" t="s">
        <v>97</v>
      </c>
      <c r="P6" t="s">
        <v>32</v>
      </c>
      <c r="Q6" t="s">
        <v>127</v>
      </c>
      <c r="R6" t="s">
        <v>127</v>
      </c>
      <c r="S6" t="s">
        <v>127</v>
      </c>
    </row>
    <row r="7" spans="1:19" x14ac:dyDescent="0.2">
      <c r="A7" t="s">
        <v>3</v>
      </c>
      <c r="B7" s="3">
        <v>100000000000000</v>
      </c>
      <c r="D7" s="2">
        <v>100000000000000</v>
      </c>
      <c r="F7" s="2">
        <v>100000000000000</v>
      </c>
      <c r="G7" s="2">
        <v>100000000000000</v>
      </c>
      <c r="I7" s="8">
        <v>100000000000000</v>
      </c>
      <c r="K7" s="2">
        <v>100000000000000</v>
      </c>
      <c r="L7" s="11">
        <v>100000000000000</v>
      </c>
      <c r="M7" s="11">
        <v>100000000000000</v>
      </c>
      <c r="O7" s="11">
        <v>100000000000000</v>
      </c>
    </row>
    <row r="8" spans="1:19" x14ac:dyDescent="0.2">
      <c r="A8" t="s">
        <v>33</v>
      </c>
      <c r="F8" t="s">
        <v>32</v>
      </c>
    </row>
    <row r="9" spans="1:19" x14ac:dyDescent="0.2">
      <c r="A9" t="s">
        <v>18</v>
      </c>
      <c r="E9" s="5" t="s">
        <v>101</v>
      </c>
      <c r="I9" s="6" t="s">
        <v>99</v>
      </c>
      <c r="K9" t="s">
        <v>100</v>
      </c>
      <c r="L9" s="9" t="s">
        <v>99</v>
      </c>
      <c r="M9" s="9" t="s">
        <v>99</v>
      </c>
      <c r="N9" s="5" t="s">
        <v>100</v>
      </c>
      <c r="O9" s="9" t="s">
        <v>99</v>
      </c>
      <c r="P9" s="5" t="s">
        <v>100</v>
      </c>
      <c r="Q9" t="s">
        <v>137</v>
      </c>
      <c r="R9" t="s">
        <v>137</v>
      </c>
      <c r="S9" t="s">
        <v>137</v>
      </c>
    </row>
    <row r="10" spans="1:19" x14ac:dyDescent="0.2">
      <c r="A10" t="s">
        <v>19</v>
      </c>
      <c r="C10" t="s">
        <v>27</v>
      </c>
      <c r="E10" t="s">
        <v>27</v>
      </c>
      <c r="F10" t="s">
        <v>27</v>
      </c>
      <c r="G10" t="s">
        <v>87</v>
      </c>
      <c r="H10" t="s">
        <v>87</v>
      </c>
      <c r="I10" s="6" t="s">
        <v>87</v>
      </c>
      <c r="J10" t="s">
        <v>87</v>
      </c>
      <c r="K10" t="s">
        <v>87</v>
      </c>
      <c r="L10" s="9" t="s">
        <v>87</v>
      </c>
      <c r="M10" s="9" t="s">
        <v>87</v>
      </c>
      <c r="N10" t="s">
        <v>87</v>
      </c>
      <c r="O10" s="9" t="s">
        <v>87</v>
      </c>
      <c r="P10" t="s">
        <v>87</v>
      </c>
      <c r="Q10" t="s">
        <v>87</v>
      </c>
      <c r="R10" t="s">
        <v>87</v>
      </c>
      <c r="S10" t="s">
        <v>87</v>
      </c>
    </row>
    <row r="11" spans="1:19" x14ac:dyDescent="0.2">
      <c r="A11" t="s">
        <v>6</v>
      </c>
      <c r="B11" s="1">
        <v>2.4</v>
      </c>
      <c r="C11">
        <v>1.5</v>
      </c>
      <c r="D11">
        <v>1</v>
      </c>
      <c r="E11">
        <v>1</v>
      </c>
      <c r="F11">
        <v>0.8</v>
      </c>
      <c r="G11">
        <v>2</v>
      </c>
      <c r="H11">
        <v>2.8</v>
      </c>
      <c r="I11" s="6">
        <v>2</v>
      </c>
      <c r="J11">
        <v>1</v>
      </c>
      <c r="K11">
        <v>2</v>
      </c>
      <c r="L11" s="9">
        <v>5</v>
      </c>
      <c r="M11" s="9">
        <v>7</v>
      </c>
      <c r="N11">
        <v>3</v>
      </c>
      <c r="O11" s="9">
        <v>3</v>
      </c>
      <c r="P11">
        <v>1</v>
      </c>
      <c r="Q11">
        <v>0</v>
      </c>
      <c r="R11">
        <v>0</v>
      </c>
      <c r="S11">
        <v>0</v>
      </c>
    </row>
    <row r="12" spans="1:19" x14ac:dyDescent="0.2">
      <c r="A12" t="s">
        <v>7</v>
      </c>
      <c r="B12" s="1">
        <v>1.43</v>
      </c>
      <c r="C12">
        <v>1.25</v>
      </c>
      <c r="D12">
        <v>1.43</v>
      </c>
      <c r="E12">
        <v>1.25</v>
      </c>
      <c r="F12">
        <v>1.25</v>
      </c>
      <c r="G12">
        <v>1.25</v>
      </c>
      <c r="H12">
        <v>1.25</v>
      </c>
      <c r="I12" s="6">
        <v>1.75</v>
      </c>
      <c r="J12">
        <v>1.25</v>
      </c>
      <c r="K12">
        <v>1.25</v>
      </c>
      <c r="L12" s="9">
        <v>1.75</v>
      </c>
      <c r="M12" s="9">
        <v>1.75</v>
      </c>
      <c r="N12">
        <v>1.25</v>
      </c>
      <c r="O12" s="9">
        <v>1.75</v>
      </c>
      <c r="P12">
        <v>1.25</v>
      </c>
      <c r="Q12">
        <v>1.75</v>
      </c>
      <c r="R12">
        <v>1.75</v>
      </c>
      <c r="S12">
        <v>1.75</v>
      </c>
    </row>
    <row r="13" spans="1:19" x14ac:dyDescent="0.2">
      <c r="A13" t="s">
        <v>8</v>
      </c>
      <c r="B13" s="1" t="s">
        <v>23</v>
      </c>
      <c r="C13" t="s">
        <v>30</v>
      </c>
      <c r="D13" t="s">
        <v>24</v>
      </c>
      <c r="E13" t="s">
        <v>28</v>
      </c>
      <c r="F13" t="s">
        <v>84</v>
      </c>
      <c r="G13" t="s">
        <v>88</v>
      </c>
      <c r="H13" t="s">
        <v>91</v>
      </c>
      <c r="I13" s="6" t="s">
        <v>92</v>
      </c>
      <c r="J13" t="s">
        <v>94</v>
      </c>
      <c r="K13" t="s">
        <v>95</v>
      </c>
      <c r="L13" s="9" t="s">
        <v>95</v>
      </c>
      <c r="M13" s="9" t="s">
        <v>95</v>
      </c>
      <c r="N13" t="s">
        <v>95</v>
      </c>
      <c r="O13" s="9" t="s">
        <v>95</v>
      </c>
      <c r="P13" t="s">
        <v>98</v>
      </c>
      <c r="Q13" t="s">
        <v>128</v>
      </c>
      <c r="R13" t="s">
        <v>129</v>
      </c>
      <c r="S13" t="s">
        <v>130</v>
      </c>
    </row>
    <row r="14" spans="1:19" x14ac:dyDescent="0.2">
      <c r="A14" t="s">
        <v>9</v>
      </c>
      <c r="B14" s="1">
        <v>132</v>
      </c>
      <c r="C14">
        <v>142</v>
      </c>
      <c r="D14" s="1">
        <v>132</v>
      </c>
      <c r="E14">
        <v>142</v>
      </c>
      <c r="F14">
        <v>142</v>
      </c>
      <c r="G14">
        <v>137</v>
      </c>
      <c r="H14">
        <v>142</v>
      </c>
      <c r="I14" s="6">
        <v>137</v>
      </c>
      <c r="J14">
        <v>142</v>
      </c>
      <c r="K14">
        <v>142</v>
      </c>
      <c r="L14" s="9">
        <v>137</v>
      </c>
      <c r="M14" s="9">
        <v>137</v>
      </c>
      <c r="N14">
        <v>142</v>
      </c>
      <c r="O14" s="9">
        <v>137</v>
      </c>
      <c r="P14">
        <v>142</v>
      </c>
      <c r="Q14" t="s">
        <v>131</v>
      </c>
    </row>
    <row r="15" spans="1:19" x14ac:dyDescent="0.2">
      <c r="A15" t="s">
        <v>20</v>
      </c>
      <c r="C15">
        <v>36</v>
      </c>
      <c r="E15">
        <v>36</v>
      </c>
      <c r="F15">
        <v>36</v>
      </c>
      <c r="G15">
        <v>36</v>
      </c>
      <c r="H15">
        <v>36</v>
      </c>
      <c r="I15" s="6">
        <v>36</v>
      </c>
      <c r="J15">
        <v>36</v>
      </c>
      <c r="K15">
        <v>36</v>
      </c>
      <c r="L15" s="9">
        <v>36</v>
      </c>
      <c r="M15" s="9">
        <v>36</v>
      </c>
      <c r="N15">
        <v>36</v>
      </c>
      <c r="O15" s="9">
        <v>36</v>
      </c>
      <c r="P15">
        <v>36</v>
      </c>
      <c r="Q15">
        <v>36</v>
      </c>
      <c r="R15">
        <v>36</v>
      </c>
      <c r="S15">
        <v>36</v>
      </c>
    </row>
    <row r="16" spans="1:19" x14ac:dyDescent="0.2">
      <c r="A16" t="s">
        <v>29</v>
      </c>
      <c r="C16">
        <v>36</v>
      </c>
      <c r="E16">
        <v>36</v>
      </c>
      <c r="F16">
        <v>36</v>
      </c>
      <c r="G16">
        <v>36</v>
      </c>
      <c r="H16">
        <v>36</v>
      </c>
      <c r="I16" s="6">
        <v>36</v>
      </c>
      <c r="J16">
        <v>36</v>
      </c>
      <c r="K16">
        <v>36</v>
      </c>
      <c r="L16" s="9">
        <v>36</v>
      </c>
      <c r="M16" s="9">
        <v>36</v>
      </c>
      <c r="N16">
        <v>36</v>
      </c>
      <c r="O16" s="9">
        <v>36</v>
      </c>
      <c r="P16">
        <v>36</v>
      </c>
      <c r="Q16">
        <v>36</v>
      </c>
      <c r="R16">
        <v>36</v>
      </c>
      <c r="S16">
        <v>36</v>
      </c>
    </row>
    <row r="17" spans="1:19" x14ac:dyDescent="0.2">
      <c r="A17" t="s">
        <v>10</v>
      </c>
      <c r="B17" s="1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s="6">
        <v>0</v>
      </c>
      <c r="J17">
        <v>0</v>
      </c>
      <c r="K17">
        <v>0</v>
      </c>
      <c r="L17" s="9">
        <v>0</v>
      </c>
      <c r="M17" s="9">
        <v>0</v>
      </c>
      <c r="N17">
        <v>0</v>
      </c>
      <c r="O17" s="9">
        <v>0</v>
      </c>
      <c r="P17">
        <v>0</v>
      </c>
      <c r="Q17">
        <v>0</v>
      </c>
      <c r="R17">
        <v>0</v>
      </c>
      <c r="S17">
        <v>0</v>
      </c>
    </row>
    <row r="18" spans="1:19" x14ac:dyDescent="0.2">
      <c r="A18" t="s">
        <v>11</v>
      </c>
      <c r="B18" s="1">
        <v>7</v>
      </c>
      <c r="C18">
        <v>5</v>
      </c>
      <c r="D18">
        <v>7</v>
      </c>
      <c r="E18">
        <v>5</v>
      </c>
      <c r="F18">
        <v>5</v>
      </c>
      <c r="G18">
        <v>1</v>
      </c>
      <c r="H18">
        <v>1</v>
      </c>
      <c r="I18" s="6">
        <v>3</v>
      </c>
      <c r="J18">
        <v>3</v>
      </c>
      <c r="K18">
        <v>3</v>
      </c>
      <c r="L18" s="9">
        <v>3</v>
      </c>
      <c r="M18" s="9">
        <v>3</v>
      </c>
      <c r="N18">
        <v>3</v>
      </c>
      <c r="O18" s="9">
        <v>3</v>
      </c>
      <c r="P18">
        <v>3</v>
      </c>
      <c r="Q18">
        <v>3</v>
      </c>
      <c r="R18">
        <v>3</v>
      </c>
      <c r="S18">
        <v>3</v>
      </c>
    </row>
    <row r="19" spans="1:19" x14ac:dyDescent="0.2">
      <c r="A19" t="s">
        <v>12</v>
      </c>
      <c r="B19" s="1">
        <v>12</v>
      </c>
      <c r="C19">
        <v>16</v>
      </c>
      <c r="D19">
        <v>12</v>
      </c>
      <c r="E19">
        <v>16</v>
      </c>
      <c r="F19">
        <v>12</v>
      </c>
      <c r="G19">
        <v>16</v>
      </c>
      <c r="H19">
        <v>12</v>
      </c>
      <c r="I19" s="6">
        <v>16</v>
      </c>
      <c r="J19">
        <v>12</v>
      </c>
      <c r="K19">
        <v>16</v>
      </c>
      <c r="L19" s="9">
        <v>16</v>
      </c>
      <c r="M19" s="9">
        <v>16</v>
      </c>
      <c r="N19">
        <v>12</v>
      </c>
      <c r="O19" s="9">
        <v>16</v>
      </c>
      <c r="P19">
        <v>12</v>
      </c>
      <c r="Q19">
        <v>16</v>
      </c>
      <c r="R19">
        <v>16</v>
      </c>
      <c r="S19">
        <v>16</v>
      </c>
    </row>
    <row r="20" spans="1:19" x14ac:dyDescent="0.2">
      <c r="A20" t="s">
        <v>13</v>
      </c>
      <c r="B20" s="1">
        <v>3</v>
      </c>
      <c r="C20">
        <v>4</v>
      </c>
      <c r="D20">
        <v>3</v>
      </c>
      <c r="E20">
        <v>4</v>
      </c>
      <c r="F20">
        <v>3</v>
      </c>
      <c r="G20">
        <v>4</v>
      </c>
      <c r="H20">
        <v>3</v>
      </c>
      <c r="I20" s="6">
        <v>4</v>
      </c>
      <c r="J20">
        <v>3</v>
      </c>
      <c r="K20">
        <v>4</v>
      </c>
      <c r="L20" s="9">
        <v>4</v>
      </c>
      <c r="M20" s="9">
        <v>4</v>
      </c>
      <c r="N20">
        <v>3</v>
      </c>
      <c r="O20" s="9">
        <v>4</v>
      </c>
      <c r="P20">
        <v>4</v>
      </c>
      <c r="Q20">
        <v>4</v>
      </c>
      <c r="R20">
        <v>4</v>
      </c>
      <c r="S20">
        <v>4</v>
      </c>
    </row>
    <row r="21" spans="1:19" x14ac:dyDescent="0.2">
      <c r="A21" t="s">
        <v>14</v>
      </c>
      <c r="B21" s="1">
        <v>4</v>
      </c>
      <c r="C21">
        <v>4</v>
      </c>
      <c r="D21">
        <v>4</v>
      </c>
      <c r="E21">
        <v>4</v>
      </c>
      <c r="F21">
        <v>4</v>
      </c>
      <c r="G21">
        <v>4</v>
      </c>
      <c r="H21">
        <v>4</v>
      </c>
      <c r="I21" s="6">
        <v>4</v>
      </c>
      <c r="J21">
        <v>4</v>
      </c>
      <c r="K21">
        <v>4</v>
      </c>
      <c r="L21" s="9">
        <v>4</v>
      </c>
      <c r="M21" s="9">
        <v>4</v>
      </c>
      <c r="N21">
        <v>4</v>
      </c>
      <c r="O21" s="9">
        <v>4</v>
      </c>
      <c r="P21" s="1">
        <v>4</v>
      </c>
      <c r="Q21">
        <v>4</v>
      </c>
      <c r="R21">
        <v>4</v>
      </c>
      <c r="S21">
        <v>4</v>
      </c>
    </row>
    <row r="22" spans="1:19" x14ac:dyDescent="0.2">
      <c r="A22" t="s">
        <v>15</v>
      </c>
    </row>
    <row r="23" spans="1:19" x14ac:dyDescent="0.2">
      <c r="A23" t="s">
        <v>34</v>
      </c>
      <c r="B23">
        <v>75</v>
      </c>
      <c r="C23">
        <v>75</v>
      </c>
      <c r="D23">
        <f>B23</f>
        <v>75</v>
      </c>
      <c r="E23">
        <v>75</v>
      </c>
      <c r="F23">
        <v>75</v>
      </c>
      <c r="G23">
        <v>150</v>
      </c>
      <c r="H23">
        <v>150</v>
      </c>
      <c r="I23" s="6">
        <v>150</v>
      </c>
      <c r="J23">
        <v>150</v>
      </c>
      <c r="K23">
        <v>150</v>
      </c>
      <c r="L23" s="9">
        <v>150</v>
      </c>
      <c r="M23" s="9">
        <v>150</v>
      </c>
      <c r="N23">
        <v>150</v>
      </c>
      <c r="O23" s="9">
        <v>150</v>
      </c>
      <c r="P23">
        <v>150</v>
      </c>
      <c r="Q23">
        <v>150</v>
      </c>
      <c r="R23">
        <v>150</v>
      </c>
      <c r="S23">
        <v>150</v>
      </c>
    </row>
    <row r="24" spans="1:19" x14ac:dyDescent="0.2">
      <c r="A24" t="s">
        <v>35</v>
      </c>
      <c r="B24">
        <v>75</v>
      </c>
      <c r="C24">
        <v>75</v>
      </c>
      <c r="D24">
        <f t="shared" ref="D24:D34" si="1">B24</f>
        <v>75</v>
      </c>
      <c r="E24">
        <v>75</v>
      </c>
      <c r="F24">
        <v>75</v>
      </c>
      <c r="G24">
        <v>150</v>
      </c>
      <c r="H24">
        <v>150</v>
      </c>
      <c r="I24" s="6">
        <v>150</v>
      </c>
      <c r="J24">
        <v>150</v>
      </c>
      <c r="K24">
        <v>150</v>
      </c>
      <c r="L24" s="9">
        <v>150</v>
      </c>
      <c r="M24" s="9">
        <v>150</v>
      </c>
      <c r="N24">
        <v>150</v>
      </c>
      <c r="O24" s="9">
        <v>150</v>
      </c>
      <c r="P24">
        <v>150</v>
      </c>
      <c r="Q24">
        <v>150</v>
      </c>
      <c r="R24">
        <v>150</v>
      </c>
      <c r="S24">
        <v>150</v>
      </c>
    </row>
    <row r="25" spans="1:19" x14ac:dyDescent="0.2">
      <c r="A25" t="s">
        <v>36</v>
      </c>
      <c r="B25">
        <v>75</v>
      </c>
      <c r="C25">
        <v>75</v>
      </c>
      <c r="D25">
        <f t="shared" si="1"/>
        <v>75</v>
      </c>
      <c r="E25">
        <v>75</v>
      </c>
      <c r="F25">
        <v>75</v>
      </c>
      <c r="G25">
        <v>150</v>
      </c>
      <c r="H25">
        <v>150</v>
      </c>
      <c r="I25" s="6">
        <v>150</v>
      </c>
      <c r="J25">
        <v>150</v>
      </c>
      <c r="K25">
        <v>150</v>
      </c>
      <c r="L25" s="9">
        <v>150</v>
      </c>
      <c r="M25" s="9">
        <v>150</v>
      </c>
      <c r="N25">
        <v>150</v>
      </c>
      <c r="O25" s="9">
        <v>150</v>
      </c>
      <c r="P25">
        <v>150</v>
      </c>
      <c r="Q25">
        <v>150</v>
      </c>
      <c r="R25">
        <v>150</v>
      </c>
      <c r="S25">
        <v>150</v>
      </c>
    </row>
    <row r="26" spans="1:19" x14ac:dyDescent="0.2">
      <c r="A26" t="s">
        <v>37</v>
      </c>
      <c r="B26">
        <v>75</v>
      </c>
      <c r="C26">
        <v>75</v>
      </c>
      <c r="D26">
        <f t="shared" si="1"/>
        <v>75</v>
      </c>
      <c r="E26">
        <v>75</v>
      </c>
      <c r="F26">
        <v>75</v>
      </c>
      <c r="G26">
        <v>150</v>
      </c>
      <c r="H26">
        <v>150</v>
      </c>
      <c r="I26" s="6">
        <v>150</v>
      </c>
      <c r="J26">
        <v>150</v>
      </c>
      <c r="K26">
        <v>150</v>
      </c>
      <c r="L26" s="9">
        <v>150</v>
      </c>
      <c r="M26" s="9">
        <v>150</v>
      </c>
      <c r="N26">
        <v>150</v>
      </c>
      <c r="O26" s="9">
        <v>150</v>
      </c>
      <c r="P26">
        <v>150</v>
      </c>
      <c r="Q26">
        <v>150</v>
      </c>
      <c r="R26">
        <v>150</v>
      </c>
      <c r="S26">
        <v>150</v>
      </c>
    </row>
    <row r="27" spans="1:19" x14ac:dyDescent="0.2">
      <c r="A27" t="s">
        <v>38</v>
      </c>
      <c r="B27">
        <v>75</v>
      </c>
      <c r="C27">
        <v>75</v>
      </c>
      <c r="D27">
        <f t="shared" si="1"/>
        <v>75</v>
      </c>
      <c r="E27">
        <v>75</v>
      </c>
      <c r="F27">
        <v>75</v>
      </c>
      <c r="G27">
        <v>150</v>
      </c>
      <c r="H27">
        <v>150</v>
      </c>
      <c r="I27" s="6">
        <v>150</v>
      </c>
      <c r="J27">
        <v>150</v>
      </c>
      <c r="K27">
        <v>150</v>
      </c>
      <c r="L27" s="9">
        <v>150</v>
      </c>
      <c r="M27" s="9">
        <v>150</v>
      </c>
      <c r="N27">
        <v>150</v>
      </c>
      <c r="O27" s="9">
        <v>150</v>
      </c>
      <c r="P27">
        <v>150</v>
      </c>
      <c r="Q27">
        <v>150</v>
      </c>
      <c r="R27">
        <v>150</v>
      </c>
      <c r="S27">
        <v>150</v>
      </c>
    </row>
    <row r="28" spans="1:19" x14ac:dyDescent="0.2">
      <c r="A28" t="s">
        <v>39</v>
      </c>
      <c r="B28">
        <v>75</v>
      </c>
      <c r="C28">
        <v>75</v>
      </c>
      <c r="D28">
        <f t="shared" si="1"/>
        <v>75</v>
      </c>
      <c r="E28">
        <v>75</v>
      </c>
      <c r="F28">
        <v>75</v>
      </c>
      <c r="G28">
        <v>150</v>
      </c>
      <c r="H28">
        <v>150</v>
      </c>
      <c r="I28" s="6">
        <v>150</v>
      </c>
      <c r="J28">
        <v>150</v>
      </c>
      <c r="K28">
        <v>150</v>
      </c>
      <c r="L28" s="9">
        <v>150</v>
      </c>
      <c r="M28" s="9">
        <v>150</v>
      </c>
      <c r="N28">
        <v>150</v>
      </c>
      <c r="O28" s="9">
        <v>150</v>
      </c>
      <c r="P28">
        <v>150</v>
      </c>
      <c r="Q28">
        <v>150</v>
      </c>
      <c r="R28">
        <v>150</v>
      </c>
      <c r="S28">
        <v>150</v>
      </c>
    </row>
    <row r="29" spans="1:19" x14ac:dyDescent="0.2">
      <c r="A29" t="s">
        <v>40</v>
      </c>
      <c r="B29">
        <v>75</v>
      </c>
      <c r="C29">
        <v>75</v>
      </c>
      <c r="D29">
        <f t="shared" si="1"/>
        <v>75</v>
      </c>
      <c r="E29">
        <v>75</v>
      </c>
      <c r="F29">
        <v>75</v>
      </c>
      <c r="G29">
        <v>150</v>
      </c>
      <c r="H29">
        <v>150</v>
      </c>
      <c r="I29" s="6">
        <v>150</v>
      </c>
      <c r="J29">
        <v>150</v>
      </c>
      <c r="K29">
        <v>150</v>
      </c>
      <c r="L29" s="9">
        <v>150</v>
      </c>
      <c r="M29" s="9">
        <v>150</v>
      </c>
      <c r="N29">
        <v>150</v>
      </c>
      <c r="O29" s="9">
        <v>150</v>
      </c>
      <c r="P29">
        <v>150</v>
      </c>
      <c r="Q29">
        <v>150</v>
      </c>
      <c r="R29">
        <v>150</v>
      </c>
      <c r="S29">
        <v>150</v>
      </c>
    </row>
    <row r="30" spans="1:19" x14ac:dyDescent="0.2">
      <c r="A30" t="s">
        <v>41</v>
      </c>
      <c r="B30">
        <v>75</v>
      </c>
      <c r="C30">
        <v>75</v>
      </c>
      <c r="D30">
        <f t="shared" si="1"/>
        <v>75</v>
      </c>
      <c r="E30">
        <v>75</v>
      </c>
      <c r="F30">
        <v>75</v>
      </c>
      <c r="G30">
        <v>150</v>
      </c>
      <c r="H30">
        <v>150</v>
      </c>
      <c r="I30" s="6">
        <v>150</v>
      </c>
      <c r="J30">
        <v>150</v>
      </c>
      <c r="K30">
        <v>150</v>
      </c>
      <c r="L30" s="9">
        <v>150</v>
      </c>
      <c r="M30" s="9">
        <v>150</v>
      </c>
      <c r="N30">
        <v>150</v>
      </c>
      <c r="O30" s="9">
        <v>150</v>
      </c>
      <c r="P30">
        <v>150</v>
      </c>
      <c r="Q30">
        <v>150</v>
      </c>
      <c r="R30">
        <v>150</v>
      </c>
      <c r="S30">
        <v>150</v>
      </c>
    </row>
    <row r="31" spans="1:19" x14ac:dyDescent="0.2">
      <c r="A31" t="s">
        <v>42</v>
      </c>
      <c r="B31">
        <v>75</v>
      </c>
      <c r="C31">
        <v>75</v>
      </c>
      <c r="D31">
        <f t="shared" si="1"/>
        <v>75</v>
      </c>
      <c r="E31">
        <v>75</v>
      </c>
      <c r="F31">
        <v>75</v>
      </c>
      <c r="G31">
        <v>150</v>
      </c>
      <c r="H31">
        <v>150</v>
      </c>
      <c r="I31" s="6">
        <v>150</v>
      </c>
      <c r="J31">
        <v>150</v>
      </c>
      <c r="K31">
        <v>150</v>
      </c>
      <c r="L31" s="9">
        <v>150</v>
      </c>
      <c r="M31" s="9">
        <v>150</v>
      </c>
      <c r="N31">
        <v>150</v>
      </c>
      <c r="O31" s="9">
        <v>150</v>
      </c>
      <c r="P31">
        <v>150</v>
      </c>
      <c r="Q31">
        <v>150</v>
      </c>
      <c r="R31">
        <v>150</v>
      </c>
      <c r="S31">
        <v>150</v>
      </c>
    </row>
    <row r="32" spans="1:19" x14ac:dyDescent="0.2">
      <c r="A32" t="s">
        <v>43</v>
      </c>
      <c r="B32">
        <v>75</v>
      </c>
      <c r="C32">
        <v>75</v>
      </c>
      <c r="D32">
        <f t="shared" si="1"/>
        <v>75</v>
      </c>
      <c r="E32">
        <v>75</v>
      </c>
      <c r="F32">
        <v>75</v>
      </c>
      <c r="G32">
        <v>150</v>
      </c>
      <c r="H32">
        <v>150</v>
      </c>
      <c r="I32" s="6">
        <v>150</v>
      </c>
      <c r="J32">
        <v>150</v>
      </c>
      <c r="K32">
        <v>150</v>
      </c>
      <c r="L32" s="9">
        <v>150</v>
      </c>
      <c r="M32" s="9">
        <v>150</v>
      </c>
      <c r="N32">
        <v>150</v>
      </c>
      <c r="O32" s="9">
        <v>150</v>
      </c>
      <c r="P32">
        <v>150</v>
      </c>
      <c r="Q32">
        <v>150</v>
      </c>
      <c r="R32">
        <v>150</v>
      </c>
      <c r="S32">
        <v>150</v>
      </c>
    </row>
    <row r="33" spans="1:19" x14ac:dyDescent="0.2">
      <c r="A33" t="s">
        <v>44</v>
      </c>
      <c r="B33">
        <v>75</v>
      </c>
      <c r="C33">
        <v>75</v>
      </c>
      <c r="D33">
        <f t="shared" si="1"/>
        <v>75</v>
      </c>
      <c r="E33">
        <v>75</v>
      </c>
      <c r="F33">
        <v>75</v>
      </c>
      <c r="G33">
        <v>150</v>
      </c>
      <c r="H33">
        <v>150</v>
      </c>
      <c r="I33" s="6">
        <v>150</v>
      </c>
      <c r="J33">
        <v>150</v>
      </c>
      <c r="K33">
        <v>150</v>
      </c>
      <c r="L33" s="9">
        <v>150</v>
      </c>
      <c r="M33" s="9">
        <v>150</v>
      </c>
      <c r="N33">
        <v>150</v>
      </c>
      <c r="O33" s="9">
        <v>150</v>
      </c>
      <c r="P33">
        <v>150</v>
      </c>
      <c r="Q33">
        <v>150</v>
      </c>
      <c r="R33">
        <v>150</v>
      </c>
      <c r="S33">
        <v>150</v>
      </c>
    </row>
    <row r="34" spans="1:19" x14ac:dyDescent="0.2">
      <c r="A34" t="s">
        <v>45</v>
      </c>
      <c r="B34">
        <v>75</v>
      </c>
      <c r="C34">
        <v>75</v>
      </c>
      <c r="D34">
        <f t="shared" si="1"/>
        <v>75</v>
      </c>
      <c r="E34">
        <v>75</v>
      </c>
      <c r="F34">
        <v>75</v>
      </c>
      <c r="G34">
        <v>150</v>
      </c>
      <c r="H34">
        <v>150</v>
      </c>
      <c r="I34" s="6">
        <v>150</v>
      </c>
      <c r="J34">
        <v>150</v>
      </c>
      <c r="K34">
        <v>150</v>
      </c>
      <c r="L34" s="9">
        <v>150</v>
      </c>
      <c r="M34" s="9">
        <v>150</v>
      </c>
      <c r="N34">
        <v>150</v>
      </c>
      <c r="O34" s="9">
        <v>150</v>
      </c>
      <c r="P34">
        <v>150</v>
      </c>
      <c r="Q34">
        <v>150</v>
      </c>
      <c r="R34">
        <v>150</v>
      </c>
      <c r="S34">
        <v>150</v>
      </c>
    </row>
    <row r="35" spans="1:19" x14ac:dyDescent="0.2">
      <c r="A35" t="s">
        <v>46</v>
      </c>
      <c r="C35">
        <v>75</v>
      </c>
      <c r="E35">
        <v>75</v>
      </c>
      <c r="G35">
        <v>150</v>
      </c>
      <c r="I35" s="6">
        <v>150</v>
      </c>
      <c r="K35">
        <v>150</v>
      </c>
      <c r="L35" s="9">
        <v>150</v>
      </c>
      <c r="M35" s="9">
        <v>150</v>
      </c>
      <c r="O35" s="9">
        <v>150</v>
      </c>
      <c r="Q35">
        <v>150</v>
      </c>
      <c r="R35">
        <v>150</v>
      </c>
      <c r="S35">
        <v>150</v>
      </c>
    </row>
    <row r="36" spans="1:19" x14ac:dyDescent="0.2">
      <c r="A36" t="s">
        <v>47</v>
      </c>
      <c r="C36">
        <v>75</v>
      </c>
      <c r="E36">
        <v>75</v>
      </c>
      <c r="G36">
        <v>150</v>
      </c>
      <c r="I36" s="6">
        <v>150</v>
      </c>
      <c r="K36">
        <v>150</v>
      </c>
      <c r="L36" s="9">
        <v>150</v>
      </c>
      <c r="M36" s="9">
        <v>150</v>
      </c>
      <c r="O36" s="9">
        <v>150</v>
      </c>
      <c r="Q36">
        <v>150</v>
      </c>
      <c r="R36">
        <v>150</v>
      </c>
      <c r="S36">
        <v>150</v>
      </c>
    </row>
    <row r="37" spans="1:19" x14ac:dyDescent="0.2">
      <c r="A37" t="s">
        <v>48</v>
      </c>
      <c r="C37">
        <v>75</v>
      </c>
      <c r="E37">
        <v>75</v>
      </c>
      <c r="G37">
        <v>150</v>
      </c>
      <c r="I37" s="6">
        <v>150</v>
      </c>
      <c r="K37">
        <v>150</v>
      </c>
      <c r="L37" s="9">
        <v>150</v>
      </c>
      <c r="M37" s="9">
        <v>150</v>
      </c>
      <c r="O37" s="9">
        <v>150</v>
      </c>
      <c r="Q37">
        <v>150</v>
      </c>
      <c r="R37">
        <v>150</v>
      </c>
      <c r="S37">
        <v>150</v>
      </c>
    </row>
    <row r="38" spans="1:19" x14ac:dyDescent="0.2">
      <c r="A38" t="s">
        <v>49</v>
      </c>
      <c r="C38">
        <v>75</v>
      </c>
      <c r="E38">
        <v>75</v>
      </c>
      <c r="G38">
        <v>150</v>
      </c>
      <c r="I38" s="6">
        <v>150</v>
      </c>
      <c r="K38">
        <v>150</v>
      </c>
      <c r="L38" s="9">
        <v>150</v>
      </c>
      <c r="M38" s="9">
        <v>150</v>
      </c>
      <c r="O38" s="9">
        <v>150</v>
      </c>
      <c r="Q38">
        <v>150</v>
      </c>
      <c r="R38">
        <v>150</v>
      </c>
      <c r="S38">
        <v>150</v>
      </c>
    </row>
    <row r="39" spans="1:19" x14ac:dyDescent="0.2">
      <c r="A39" t="s">
        <v>16</v>
      </c>
    </row>
    <row r="40" spans="1:19" x14ac:dyDescent="0.2">
      <c r="A40" t="s">
        <v>50</v>
      </c>
      <c r="B40" t="s">
        <v>31</v>
      </c>
      <c r="C40" t="s">
        <v>31</v>
      </c>
      <c r="D40" t="str">
        <f>B40</f>
        <v>Be</v>
      </c>
      <c r="E40" t="s">
        <v>31</v>
      </c>
      <c r="F40" t="s">
        <v>31</v>
      </c>
      <c r="I40" s="6" t="s">
        <v>93</v>
      </c>
      <c r="K40" t="s">
        <v>93</v>
      </c>
      <c r="L40" s="9" t="s">
        <v>93</v>
      </c>
      <c r="M40" s="9" t="s">
        <v>93</v>
      </c>
      <c r="N40" t="s">
        <v>93</v>
      </c>
      <c r="O40" s="9" t="s">
        <v>93</v>
      </c>
      <c r="P40" t="s">
        <v>93</v>
      </c>
      <c r="Q40" t="s">
        <v>132</v>
      </c>
      <c r="R40" t="s">
        <v>132</v>
      </c>
      <c r="S40" t="s">
        <v>132</v>
      </c>
    </row>
    <row r="41" spans="1:19" x14ac:dyDescent="0.2">
      <c r="A41" t="s">
        <v>51</v>
      </c>
      <c r="B41" t="s">
        <v>31</v>
      </c>
      <c r="C41" t="s">
        <v>31</v>
      </c>
      <c r="D41" t="str">
        <f t="shared" ref="D41:D50" si="2">B41</f>
        <v>Be</v>
      </c>
      <c r="E41" t="s">
        <v>83</v>
      </c>
      <c r="F41" t="s">
        <v>83</v>
      </c>
      <c r="I41" s="6" t="s">
        <v>93</v>
      </c>
      <c r="K41" t="s">
        <v>93</v>
      </c>
      <c r="L41" s="9" t="s">
        <v>93</v>
      </c>
      <c r="M41" s="9" t="s">
        <v>93</v>
      </c>
      <c r="N41" t="s">
        <v>93</v>
      </c>
      <c r="O41" s="9" t="s">
        <v>93</v>
      </c>
      <c r="P41" t="s">
        <v>93</v>
      </c>
      <c r="Q41" t="s">
        <v>132</v>
      </c>
      <c r="R41" t="s">
        <v>132</v>
      </c>
      <c r="S41" t="s">
        <v>132</v>
      </c>
    </row>
    <row r="42" spans="1:19" x14ac:dyDescent="0.2">
      <c r="A42" t="s">
        <v>52</v>
      </c>
      <c r="B42" t="s">
        <v>31</v>
      </c>
      <c r="C42" t="s">
        <v>31</v>
      </c>
      <c r="D42" t="str">
        <f t="shared" si="2"/>
        <v>Be</v>
      </c>
      <c r="E42" t="s">
        <v>31</v>
      </c>
      <c r="F42" t="s">
        <v>31</v>
      </c>
      <c r="I42" s="6" t="s">
        <v>93</v>
      </c>
      <c r="K42" t="s">
        <v>93</v>
      </c>
      <c r="L42" s="9" t="s">
        <v>93</v>
      </c>
      <c r="M42" s="9" t="s">
        <v>93</v>
      </c>
      <c r="N42" t="s">
        <v>93</v>
      </c>
      <c r="O42" s="9" t="s">
        <v>93</v>
      </c>
      <c r="P42" t="s">
        <v>93</v>
      </c>
      <c r="Q42" t="s">
        <v>132</v>
      </c>
      <c r="R42" t="s">
        <v>132</v>
      </c>
      <c r="S42" t="s">
        <v>132</v>
      </c>
    </row>
    <row r="43" spans="1:19" x14ac:dyDescent="0.2">
      <c r="A43" t="s">
        <v>53</v>
      </c>
      <c r="B43" t="s">
        <v>31</v>
      </c>
      <c r="C43" t="s">
        <v>31</v>
      </c>
      <c r="D43" t="str">
        <f t="shared" si="2"/>
        <v>Be</v>
      </c>
      <c r="E43" t="s">
        <v>31</v>
      </c>
      <c r="F43" t="s">
        <v>31</v>
      </c>
      <c r="I43" s="6" t="s">
        <v>93</v>
      </c>
      <c r="K43" t="s">
        <v>93</v>
      </c>
      <c r="L43" s="9" t="s">
        <v>93</v>
      </c>
      <c r="M43" s="9" t="s">
        <v>93</v>
      </c>
      <c r="N43" t="s">
        <v>93</v>
      </c>
      <c r="O43" s="9" t="s">
        <v>93</v>
      </c>
      <c r="P43" t="s">
        <v>93</v>
      </c>
      <c r="Q43" t="s">
        <v>132</v>
      </c>
      <c r="R43" t="s">
        <v>132</v>
      </c>
      <c r="S43" t="s">
        <v>132</v>
      </c>
    </row>
    <row r="44" spans="1:19" x14ac:dyDescent="0.2">
      <c r="A44" t="s">
        <v>54</v>
      </c>
      <c r="B44" t="s">
        <v>82</v>
      </c>
      <c r="C44" t="s">
        <v>83</v>
      </c>
      <c r="D44" t="str">
        <f t="shared" si="2"/>
        <v>P</v>
      </c>
      <c r="E44" t="s">
        <v>31</v>
      </c>
      <c r="F44" t="s">
        <v>31</v>
      </c>
      <c r="I44" s="6" t="s">
        <v>93</v>
      </c>
      <c r="K44" t="s">
        <v>93</v>
      </c>
      <c r="L44" s="9" t="s">
        <v>93</v>
      </c>
      <c r="M44" s="9" t="s">
        <v>93</v>
      </c>
      <c r="N44" t="s">
        <v>96</v>
      </c>
      <c r="O44" s="9" t="s">
        <v>93</v>
      </c>
      <c r="P44" t="s">
        <v>96</v>
      </c>
      <c r="Q44" t="s">
        <v>132</v>
      </c>
      <c r="R44" t="s">
        <v>132</v>
      </c>
      <c r="S44" t="s">
        <v>132</v>
      </c>
    </row>
    <row r="45" spans="1:19" x14ac:dyDescent="0.2">
      <c r="A45" t="s">
        <v>55</v>
      </c>
      <c r="B45" t="s">
        <v>82</v>
      </c>
      <c r="C45" t="s">
        <v>83</v>
      </c>
      <c r="D45" t="str">
        <f t="shared" si="2"/>
        <v>P</v>
      </c>
      <c r="E45" t="s">
        <v>83</v>
      </c>
      <c r="F45" t="s">
        <v>83</v>
      </c>
      <c r="I45" s="6" t="s">
        <v>93</v>
      </c>
      <c r="K45" t="s">
        <v>93</v>
      </c>
      <c r="L45" s="9" t="s">
        <v>93</v>
      </c>
      <c r="M45" s="9" t="s">
        <v>93</v>
      </c>
      <c r="N45" t="s">
        <v>93</v>
      </c>
      <c r="O45" s="9" t="s">
        <v>93</v>
      </c>
      <c r="P45" t="s">
        <v>93</v>
      </c>
      <c r="Q45" t="s">
        <v>133</v>
      </c>
      <c r="R45" t="s">
        <v>133</v>
      </c>
      <c r="S45" t="s">
        <v>133</v>
      </c>
    </row>
    <row r="46" spans="1:19" x14ac:dyDescent="0.2">
      <c r="A46" t="s">
        <v>56</v>
      </c>
      <c r="B46" t="s">
        <v>82</v>
      </c>
      <c r="C46" t="s">
        <v>83</v>
      </c>
      <c r="D46" t="str">
        <f t="shared" si="2"/>
        <v>P</v>
      </c>
      <c r="E46" t="s">
        <v>31</v>
      </c>
      <c r="F46" t="s">
        <v>31</v>
      </c>
      <c r="I46" s="6" t="s">
        <v>93</v>
      </c>
      <c r="K46" t="s">
        <v>93</v>
      </c>
      <c r="L46" s="9" t="s">
        <v>93</v>
      </c>
      <c r="M46" s="9" t="s">
        <v>93</v>
      </c>
      <c r="N46" t="s">
        <v>96</v>
      </c>
      <c r="O46" s="9" t="s">
        <v>93</v>
      </c>
      <c r="P46" t="s">
        <v>96</v>
      </c>
      <c r="Q46" t="s">
        <v>132</v>
      </c>
      <c r="R46" t="s">
        <v>132</v>
      </c>
      <c r="S46" t="s">
        <v>132</v>
      </c>
    </row>
    <row r="47" spans="1:19" x14ac:dyDescent="0.2">
      <c r="A47" t="s">
        <v>57</v>
      </c>
      <c r="B47" t="s">
        <v>82</v>
      </c>
      <c r="C47" t="s">
        <v>83</v>
      </c>
      <c r="D47" t="str">
        <f t="shared" si="2"/>
        <v>P</v>
      </c>
      <c r="E47" t="s">
        <v>31</v>
      </c>
      <c r="F47" t="s">
        <v>31</v>
      </c>
      <c r="I47" s="6" t="s">
        <v>93</v>
      </c>
      <c r="K47" t="s">
        <v>93</v>
      </c>
      <c r="L47" s="9" t="s">
        <v>93</v>
      </c>
      <c r="M47" s="9" t="s">
        <v>93</v>
      </c>
      <c r="N47" t="s">
        <v>93</v>
      </c>
      <c r="O47" s="9" t="s">
        <v>93</v>
      </c>
      <c r="P47" t="s">
        <v>93</v>
      </c>
      <c r="Q47" t="s">
        <v>133</v>
      </c>
      <c r="R47" t="s">
        <v>133</v>
      </c>
      <c r="S47" t="s">
        <v>133</v>
      </c>
    </row>
    <row r="48" spans="1:19" x14ac:dyDescent="0.2">
      <c r="A48" t="s">
        <v>58</v>
      </c>
      <c r="B48" t="s">
        <v>31</v>
      </c>
      <c r="C48" t="s">
        <v>31</v>
      </c>
      <c r="D48" t="str">
        <f t="shared" si="2"/>
        <v>Be</v>
      </c>
      <c r="E48" t="s">
        <v>31</v>
      </c>
      <c r="F48" t="s">
        <v>31</v>
      </c>
      <c r="I48" s="6" t="s">
        <v>93</v>
      </c>
      <c r="K48" t="s">
        <v>93</v>
      </c>
      <c r="L48" s="9" t="s">
        <v>96</v>
      </c>
      <c r="M48" s="9" t="s">
        <v>96</v>
      </c>
      <c r="N48" t="s">
        <v>93</v>
      </c>
      <c r="O48" s="9" t="s">
        <v>96</v>
      </c>
      <c r="P48" t="s">
        <v>93</v>
      </c>
      <c r="Q48" t="s">
        <v>132</v>
      </c>
      <c r="R48" t="s">
        <v>132</v>
      </c>
      <c r="S48" t="s">
        <v>132</v>
      </c>
    </row>
    <row r="49" spans="1:19" x14ac:dyDescent="0.2">
      <c r="A49" t="s">
        <v>59</v>
      </c>
      <c r="B49" t="s">
        <v>31</v>
      </c>
      <c r="C49" t="s">
        <v>83</v>
      </c>
      <c r="D49" t="str">
        <f t="shared" si="2"/>
        <v>Be</v>
      </c>
      <c r="E49" t="s">
        <v>83</v>
      </c>
      <c r="F49" t="s">
        <v>83</v>
      </c>
      <c r="I49" s="6" t="s">
        <v>93</v>
      </c>
      <c r="K49" t="s">
        <v>93</v>
      </c>
      <c r="L49" s="9" t="s">
        <v>93</v>
      </c>
      <c r="M49" s="9" t="s">
        <v>93</v>
      </c>
      <c r="N49" t="s">
        <v>96</v>
      </c>
      <c r="O49" s="9" t="s">
        <v>93</v>
      </c>
      <c r="P49" t="s">
        <v>96</v>
      </c>
      <c r="Q49" t="s">
        <v>132</v>
      </c>
      <c r="R49" t="s">
        <v>132</v>
      </c>
      <c r="S49" t="s">
        <v>132</v>
      </c>
    </row>
    <row r="50" spans="1:19" x14ac:dyDescent="0.2">
      <c r="A50" t="s">
        <v>65</v>
      </c>
      <c r="B50" t="s">
        <v>31</v>
      </c>
      <c r="C50" t="s">
        <v>31</v>
      </c>
      <c r="D50" t="str">
        <f t="shared" si="2"/>
        <v>Be</v>
      </c>
      <c r="E50" t="s">
        <v>31</v>
      </c>
      <c r="F50" t="s">
        <v>31</v>
      </c>
      <c r="I50" s="6" t="s">
        <v>93</v>
      </c>
      <c r="K50" t="s">
        <v>93</v>
      </c>
      <c r="L50" s="9" t="s">
        <v>96</v>
      </c>
      <c r="M50" s="9" t="s">
        <v>96</v>
      </c>
      <c r="N50" t="s">
        <v>93</v>
      </c>
      <c r="O50" s="9" t="s">
        <v>96</v>
      </c>
      <c r="P50" t="s">
        <v>93</v>
      </c>
      <c r="Q50" t="s">
        <v>132</v>
      </c>
      <c r="R50" t="s">
        <v>132</v>
      </c>
      <c r="S50" t="s">
        <v>132</v>
      </c>
    </row>
    <row r="51" spans="1:19" x14ac:dyDescent="0.2">
      <c r="A51" t="s">
        <v>60</v>
      </c>
      <c r="B51" t="s">
        <v>31</v>
      </c>
      <c r="C51" t="s">
        <v>31</v>
      </c>
      <c r="D51" t="str">
        <f>B51</f>
        <v>Be</v>
      </c>
      <c r="E51" t="s">
        <v>31</v>
      </c>
      <c r="F51" t="s">
        <v>31</v>
      </c>
      <c r="I51" s="6" t="s">
        <v>93</v>
      </c>
      <c r="K51" t="s">
        <v>93</v>
      </c>
      <c r="L51" s="9" t="s">
        <v>93</v>
      </c>
      <c r="M51" s="9" t="s">
        <v>93</v>
      </c>
      <c r="N51" t="s">
        <v>96</v>
      </c>
      <c r="O51" s="9" t="s">
        <v>93</v>
      </c>
      <c r="P51" t="s">
        <v>96</v>
      </c>
      <c r="Q51" t="s">
        <v>132</v>
      </c>
      <c r="R51" t="s">
        <v>132</v>
      </c>
      <c r="S51" t="s">
        <v>132</v>
      </c>
    </row>
    <row r="52" spans="1:19" x14ac:dyDescent="0.2">
      <c r="A52" t="s">
        <v>61</v>
      </c>
      <c r="C52" t="s">
        <v>31</v>
      </c>
      <c r="E52" t="s">
        <v>31</v>
      </c>
      <c r="I52" s="6" t="s">
        <v>93</v>
      </c>
      <c r="K52" t="s">
        <v>93</v>
      </c>
      <c r="L52" s="9" t="s">
        <v>93</v>
      </c>
      <c r="M52" s="9" t="s">
        <v>93</v>
      </c>
      <c r="O52" s="9" t="s">
        <v>93</v>
      </c>
      <c r="Q52" t="s">
        <v>132</v>
      </c>
      <c r="R52" t="s">
        <v>132</v>
      </c>
      <c r="S52" t="s">
        <v>132</v>
      </c>
    </row>
    <row r="53" spans="1:19" x14ac:dyDescent="0.2">
      <c r="A53" t="s">
        <v>62</v>
      </c>
      <c r="C53" t="s">
        <v>83</v>
      </c>
      <c r="E53" t="s">
        <v>83</v>
      </c>
      <c r="I53" s="6" t="s">
        <v>93</v>
      </c>
      <c r="K53" t="s">
        <v>93</v>
      </c>
      <c r="L53" s="9" t="s">
        <v>96</v>
      </c>
      <c r="M53" s="9" t="s">
        <v>96</v>
      </c>
      <c r="O53" s="9" t="s">
        <v>96</v>
      </c>
      <c r="Q53" t="s">
        <v>132</v>
      </c>
      <c r="R53" t="s">
        <v>132</v>
      </c>
      <c r="S53" t="s">
        <v>132</v>
      </c>
    </row>
    <row r="54" spans="1:19" x14ac:dyDescent="0.2">
      <c r="A54" t="s">
        <v>63</v>
      </c>
      <c r="C54" t="s">
        <v>31</v>
      </c>
      <c r="E54" t="s">
        <v>31</v>
      </c>
      <c r="I54" s="6" t="s">
        <v>93</v>
      </c>
      <c r="K54" t="s">
        <v>93</v>
      </c>
      <c r="L54" s="9" t="s">
        <v>93</v>
      </c>
      <c r="M54" s="9" t="s">
        <v>93</v>
      </c>
      <c r="O54" s="9" t="s">
        <v>93</v>
      </c>
      <c r="Q54" t="s">
        <v>132</v>
      </c>
      <c r="R54" t="s">
        <v>132</v>
      </c>
      <c r="S54" t="s">
        <v>132</v>
      </c>
    </row>
    <row r="55" spans="1:19" x14ac:dyDescent="0.2">
      <c r="A55" t="s">
        <v>64</v>
      </c>
      <c r="C55" t="s">
        <v>31</v>
      </c>
      <c r="E55" t="s">
        <v>31</v>
      </c>
      <c r="I55" s="6" t="s">
        <v>93</v>
      </c>
      <c r="K55" t="s">
        <v>93</v>
      </c>
      <c r="L55" s="9" t="s">
        <v>96</v>
      </c>
      <c r="M55" s="9" t="s">
        <v>96</v>
      </c>
      <c r="O55" s="9" t="s">
        <v>96</v>
      </c>
      <c r="Q55" t="s">
        <v>132</v>
      </c>
      <c r="R55" t="s">
        <v>132</v>
      </c>
      <c r="S55" t="s">
        <v>132</v>
      </c>
    </row>
    <row r="56" spans="1:19" ht="16" thickBot="1" x14ac:dyDescent="0.25">
      <c r="A56" t="s">
        <v>17</v>
      </c>
      <c r="C56" s="1"/>
    </row>
    <row r="57" spans="1:19" x14ac:dyDescent="0.2">
      <c r="A57" t="s">
        <v>66</v>
      </c>
      <c r="B57">
        <v>25</v>
      </c>
      <c r="C57">
        <v>25</v>
      </c>
      <c r="D57">
        <v>25</v>
      </c>
      <c r="E57">
        <v>25</v>
      </c>
      <c r="F57">
        <v>25</v>
      </c>
      <c r="I57" s="15">
        <v>3</v>
      </c>
      <c r="K57">
        <v>3</v>
      </c>
      <c r="L57" s="12">
        <v>3.22</v>
      </c>
      <c r="M57" s="12">
        <v>3.22</v>
      </c>
      <c r="N57">
        <v>3</v>
      </c>
      <c r="O57" s="12">
        <v>3.22</v>
      </c>
      <c r="P57">
        <f t="shared" ref="P57:P68" si="3">N57</f>
        <v>3</v>
      </c>
      <c r="Q57" t="s">
        <v>134</v>
      </c>
      <c r="R57" t="s">
        <v>134</v>
      </c>
      <c r="S57" t="s">
        <v>134</v>
      </c>
    </row>
    <row r="58" spans="1:19" x14ac:dyDescent="0.2">
      <c r="A58" t="s">
        <v>67</v>
      </c>
      <c r="B58">
        <v>25</v>
      </c>
      <c r="C58">
        <v>25</v>
      </c>
      <c r="D58">
        <v>25</v>
      </c>
      <c r="E58" t="s">
        <v>119</v>
      </c>
      <c r="F58" t="s">
        <v>119</v>
      </c>
      <c r="I58" s="16">
        <v>6.5</v>
      </c>
      <c r="K58">
        <v>6.5</v>
      </c>
      <c r="L58" s="13">
        <v>3.22</v>
      </c>
      <c r="M58" s="13">
        <v>3.22</v>
      </c>
      <c r="N58">
        <v>4.49</v>
      </c>
      <c r="O58" s="13">
        <v>3.22</v>
      </c>
      <c r="P58">
        <f t="shared" si="3"/>
        <v>4.49</v>
      </c>
      <c r="Q58" t="s">
        <v>134</v>
      </c>
      <c r="R58" t="s">
        <v>134</v>
      </c>
      <c r="S58" t="s">
        <v>134</v>
      </c>
    </row>
    <row r="59" spans="1:19" x14ac:dyDescent="0.2">
      <c r="A59" t="s">
        <v>68</v>
      </c>
      <c r="B59">
        <v>25</v>
      </c>
      <c r="C59">
        <v>25</v>
      </c>
      <c r="D59">
        <v>25</v>
      </c>
      <c r="E59">
        <v>25</v>
      </c>
      <c r="F59">
        <v>25</v>
      </c>
      <c r="I59" s="16">
        <v>3</v>
      </c>
      <c r="K59">
        <v>3</v>
      </c>
      <c r="L59" s="13">
        <v>3.22</v>
      </c>
      <c r="M59" s="13">
        <v>3.22</v>
      </c>
      <c r="N59">
        <v>3</v>
      </c>
      <c r="O59" s="13">
        <v>3.22</v>
      </c>
      <c r="P59">
        <f t="shared" si="3"/>
        <v>3</v>
      </c>
      <c r="Q59" t="s">
        <v>134</v>
      </c>
      <c r="R59" t="s">
        <v>134</v>
      </c>
      <c r="S59" t="s">
        <v>134</v>
      </c>
    </row>
    <row r="60" spans="1:19" ht="16" thickBot="1" x14ac:dyDescent="0.25">
      <c r="A60" t="s">
        <v>69</v>
      </c>
      <c r="B60">
        <v>25</v>
      </c>
      <c r="C60">
        <v>25</v>
      </c>
      <c r="D60">
        <v>25</v>
      </c>
      <c r="E60">
        <v>25</v>
      </c>
      <c r="F60">
        <v>25</v>
      </c>
      <c r="I60" s="17">
        <v>6.5</v>
      </c>
      <c r="K60">
        <v>6.5</v>
      </c>
      <c r="L60" s="14">
        <v>3.22</v>
      </c>
      <c r="M60" s="14">
        <v>3.22</v>
      </c>
      <c r="N60">
        <v>4.51</v>
      </c>
      <c r="O60" s="14">
        <v>3.22</v>
      </c>
      <c r="P60">
        <f t="shared" si="3"/>
        <v>4.51</v>
      </c>
      <c r="Q60" t="s">
        <v>134</v>
      </c>
      <c r="R60" t="s">
        <v>134</v>
      </c>
      <c r="S60" t="s">
        <v>134</v>
      </c>
    </row>
    <row r="61" spans="1:19" x14ac:dyDescent="0.2">
      <c r="A61" t="s">
        <v>70</v>
      </c>
      <c r="B61">
        <v>36</v>
      </c>
      <c r="C61" s="18">
        <v>25195</v>
      </c>
      <c r="D61">
        <v>31</v>
      </c>
      <c r="E61">
        <v>25</v>
      </c>
      <c r="F61">
        <v>25</v>
      </c>
      <c r="I61" s="15">
        <v>3</v>
      </c>
      <c r="K61">
        <v>3</v>
      </c>
      <c r="L61" s="12">
        <v>3.22</v>
      </c>
      <c r="M61" s="12">
        <v>3.22</v>
      </c>
      <c r="N61" t="s">
        <v>122</v>
      </c>
      <c r="O61" s="12">
        <v>3.22</v>
      </c>
      <c r="P61" t="str">
        <f t="shared" si="3"/>
        <v>3,12.5</v>
      </c>
      <c r="Q61" t="s">
        <v>134</v>
      </c>
      <c r="R61" t="s">
        <v>134</v>
      </c>
      <c r="S61" t="s">
        <v>134</v>
      </c>
    </row>
    <row r="62" spans="1:19" x14ac:dyDescent="0.2">
      <c r="A62" t="s">
        <v>71</v>
      </c>
      <c r="B62">
        <v>36</v>
      </c>
      <c r="C62" t="s">
        <v>118</v>
      </c>
      <c r="D62">
        <v>31</v>
      </c>
      <c r="E62" t="s">
        <v>119</v>
      </c>
      <c r="F62" t="s">
        <v>119</v>
      </c>
      <c r="I62" s="16">
        <v>6.5</v>
      </c>
      <c r="K62">
        <v>6.5</v>
      </c>
      <c r="L62" s="13">
        <v>4.6900000000000004</v>
      </c>
      <c r="M62" s="13">
        <v>4.6900000000000004</v>
      </c>
      <c r="N62">
        <v>3</v>
      </c>
      <c r="O62" s="13">
        <v>4.6900000000000004</v>
      </c>
      <c r="P62">
        <f t="shared" si="3"/>
        <v>3</v>
      </c>
      <c r="Q62">
        <v>4</v>
      </c>
      <c r="R62">
        <v>4</v>
      </c>
      <c r="S62">
        <v>4</v>
      </c>
    </row>
    <row r="63" spans="1:19" x14ac:dyDescent="0.2">
      <c r="A63" t="s">
        <v>72</v>
      </c>
      <c r="B63">
        <v>36</v>
      </c>
      <c r="C63" s="18">
        <v>25195</v>
      </c>
      <c r="D63">
        <v>31</v>
      </c>
      <c r="E63">
        <v>25</v>
      </c>
      <c r="F63">
        <v>25</v>
      </c>
      <c r="I63" s="16">
        <v>3</v>
      </c>
      <c r="K63">
        <v>3</v>
      </c>
      <c r="L63" s="13">
        <v>3.22</v>
      </c>
      <c r="M63" s="13">
        <v>3.22</v>
      </c>
      <c r="N63" t="s">
        <v>122</v>
      </c>
      <c r="O63" s="13">
        <v>3.22</v>
      </c>
      <c r="P63" t="str">
        <f t="shared" si="3"/>
        <v>3,12.5</v>
      </c>
      <c r="Q63" t="s">
        <v>134</v>
      </c>
      <c r="R63" t="s">
        <v>134</v>
      </c>
      <c r="S63" t="s">
        <v>134</v>
      </c>
    </row>
    <row r="64" spans="1:19" ht="16" thickBot="1" x14ac:dyDescent="0.25">
      <c r="A64" t="s">
        <v>73</v>
      </c>
      <c r="B64">
        <v>36</v>
      </c>
      <c r="C64" t="s">
        <v>118</v>
      </c>
      <c r="D64">
        <v>31</v>
      </c>
      <c r="E64">
        <v>25</v>
      </c>
      <c r="F64">
        <v>25</v>
      </c>
      <c r="I64" s="17">
        <v>6.5</v>
      </c>
      <c r="K64">
        <v>6.5</v>
      </c>
      <c r="L64" s="14">
        <v>4.82</v>
      </c>
      <c r="M64" s="14">
        <v>4.82</v>
      </c>
      <c r="N64">
        <v>3</v>
      </c>
      <c r="O64" s="14">
        <v>4.82</v>
      </c>
      <c r="P64">
        <f t="shared" si="3"/>
        <v>3</v>
      </c>
      <c r="Q64">
        <v>4</v>
      </c>
      <c r="R64">
        <v>4</v>
      </c>
      <c r="S64">
        <v>4</v>
      </c>
    </row>
    <row r="65" spans="1:58" x14ac:dyDescent="0.2">
      <c r="A65" t="s">
        <v>74</v>
      </c>
      <c r="B65">
        <v>25</v>
      </c>
      <c r="C65">
        <v>25</v>
      </c>
      <c r="D65">
        <v>25</v>
      </c>
      <c r="E65">
        <v>25</v>
      </c>
      <c r="F65">
        <v>25</v>
      </c>
      <c r="I65" s="15">
        <v>3</v>
      </c>
      <c r="K65">
        <v>3</v>
      </c>
      <c r="L65" s="12" t="s">
        <v>120</v>
      </c>
      <c r="M65" s="12" t="s">
        <v>120</v>
      </c>
      <c r="N65">
        <v>3</v>
      </c>
      <c r="O65" s="12" t="s">
        <v>120</v>
      </c>
      <c r="P65">
        <f t="shared" si="3"/>
        <v>3</v>
      </c>
      <c r="Q65" t="s">
        <v>135</v>
      </c>
      <c r="R65" t="s">
        <v>135</v>
      </c>
      <c r="S65" t="s">
        <v>135</v>
      </c>
    </row>
    <row r="66" spans="1:58" x14ac:dyDescent="0.2">
      <c r="A66" t="s">
        <v>75</v>
      </c>
      <c r="B66">
        <v>25</v>
      </c>
      <c r="C66" t="s">
        <v>118</v>
      </c>
      <c r="D66">
        <v>25</v>
      </c>
      <c r="E66" t="s">
        <v>119</v>
      </c>
      <c r="F66" t="s">
        <v>119</v>
      </c>
      <c r="I66" s="16">
        <v>6.5</v>
      </c>
      <c r="K66">
        <v>6.5</v>
      </c>
      <c r="L66" s="13">
        <v>3.22</v>
      </c>
      <c r="M66" s="13">
        <v>3.22</v>
      </c>
      <c r="N66" t="s">
        <v>123</v>
      </c>
      <c r="O66" s="13">
        <v>3.22</v>
      </c>
      <c r="P66" t="str">
        <f t="shared" si="3"/>
        <v>3,25</v>
      </c>
      <c r="Q66" t="s">
        <v>134</v>
      </c>
      <c r="R66" t="s">
        <v>134</v>
      </c>
      <c r="S66" t="s">
        <v>134</v>
      </c>
    </row>
    <row r="67" spans="1:58" x14ac:dyDescent="0.2">
      <c r="A67" t="s">
        <v>76</v>
      </c>
      <c r="B67">
        <v>25</v>
      </c>
      <c r="C67">
        <v>25</v>
      </c>
      <c r="D67">
        <v>25</v>
      </c>
      <c r="E67">
        <v>25</v>
      </c>
      <c r="F67">
        <v>25</v>
      </c>
      <c r="I67" s="16">
        <v>3</v>
      </c>
      <c r="K67">
        <v>3</v>
      </c>
      <c r="L67" s="13" t="s">
        <v>120</v>
      </c>
      <c r="M67" s="13" t="s">
        <v>120</v>
      </c>
      <c r="N67">
        <v>3</v>
      </c>
      <c r="O67" s="13" t="s">
        <v>120</v>
      </c>
      <c r="P67">
        <f t="shared" si="3"/>
        <v>3</v>
      </c>
      <c r="Q67" t="s">
        <v>135</v>
      </c>
      <c r="R67" t="s">
        <v>135</v>
      </c>
      <c r="S67" t="s">
        <v>135</v>
      </c>
    </row>
    <row r="68" spans="1:58" ht="16" thickBot="1" x14ac:dyDescent="0.25">
      <c r="A68" t="s">
        <v>77</v>
      </c>
      <c r="B68">
        <v>25</v>
      </c>
      <c r="C68">
        <v>25</v>
      </c>
      <c r="D68">
        <v>25</v>
      </c>
      <c r="E68">
        <v>25</v>
      </c>
      <c r="F68">
        <v>25</v>
      </c>
      <c r="I68" s="17">
        <v>6.5</v>
      </c>
      <c r="K68">
        <v>6.5</v>
      </c>
      <c r="L68" s="14">
        <v>3.22</v>
      </c>
      <c r="M68" s="14">
        <v>3.22</v>
      </c>
      <c r="N68" t="s">
        <v>123</v>
      </c>
      <c r="O68" s="14">
        <v>3.22</v>
      </c>
      <c r="P68" t="str">
        <f t="shared" si="3"/>
        <v>3,25</v>
      </c>
      <c r="Q68" t="s">
        <v>134</v>
      </c>
      <c r="R68" t="s">
        <v>134</v>
      </c>
      <c r="S68" t="s">
        <v>134</v>
      </c>
    </row>
    <row r="69" spans="1:58" x14ac:dyDescent="0.2">
      <c r="A69" t="s">
        <v>78</v>
      </c>
      <c r="C69">
        <v>25</v>
      </c>
      <c r="E69">
        <v>25</v>
      </c>
      <c r="I69" s="15">
        <v>3</v>
      </c>
      <c r="K69">
        <v>3</v>
      </c>
      <c r="L69" s="12">
        <v>3.22</v>
      </c>
      <c r="M69" s="12">
        <v>3.22</v>
      </c>
      <c r="O69" s="12">
        <v>3.22</v>
      </c>
      <c r="Q69" t="s">
        <v>134</v>
      </c>
      <c r="R69" t="s">
        <v>134</v>
      </c>
      <c r="S69" t="s">
        <v>134</v>
      </c>
    </row>
    <row r="70" spans="1:58" x14ac:dyDescent="0.2">
      <c r="A70" t="s">
        <v>79</v>
      </c>
      <c r="C70" t="s">
        <v>118</v>
      </c>
      <c r="E70" t="s">
        <v>119</v>
      </c>
      <c r="I70" s="16">
        <v>6.5</v>
      </c>
      <c r="K70">
        <v>6.5</v>
      </c>
      <c r="L70" s="13" t="s">
        <v>121</v>
      </c>
      <c r="M70" s="13" t="s">
        <v>121</v>
      </c>
      <c r="O70" s="13" t="s">
        <v>121</v>
      </c>
      <c r="Q70" t="s">
        <v>136</v>
      </c>
      <c r="R70" t="s">
        <v>136</v>
      </c>
      <c r="S70" t="s">
        <v>136</v>
      </c>
    </row>
    <row r="71" spans="1:58" x14ac:dyDescent="0.2">
      <c r="A71" t="s">
        <v>80</v>
      </c>
      <c r="C71">
        <v>25</v>
      </c>
      <c r="E71">
        <v>25</v>
      </c>
      <c r="I71" s="16">
        <v>3</v>
      </c>
      <c r="K71">
        <v>3</v>
      </c>
      <c r="L71" s="13">
        <v>3.22</v>
      </c>
      <c r="M71" s="13">
        <v>3.22</v>
      </c>
      <c r="O71" s="13">
        <v>3.22</v>
      </c>
      <c r="Q71" t="s">
        <v>134</v>
      </c>
      <c r="R71" t="s">
        <v>134</v>
      </c>
      <c r="S71" t="s">
        <v>134</v>
      </c>
    </row>
    <row r="72" spans="1:58" ht="16" thickBot="1" x14ac:dyDescent="0.25">
      <c r="A72" t="s">
        <v>81</v>
      </c>
      <c r="C72">
        <v>25</v>
      </c>
      <c r="E72">
        <v>25</v>
      </c>
      <c r="I72" s="17">
        <v>6.5</v>
      </c>
      <c r="K72">
        <v>6.5</v>
      </c>
      <c r="L72" s="14" t="s">
        <v>121</v>
      </c>
      <c r="M72" s="14" t="s">
        <v>121</v>
      </c>
      <c r="O72" s="14" t="s">
        <v>121</v>
      </c>
      <c r="Q72" t="s">
        <v>136</v>
      </c>
      <c r="R72" t="s">
        <v>136</v>
      </c>
      <c r="S72" t="s">
        <v>136</v>
      </c>
    </row>
    <row r="73" spans="1:58" s="4" customFormat="1" x14ac:dyDescent="0.2">
      <c r="A73"/>
      <c r="B73"/>
      <c r="C73"/>
      <c r="D73"/>
      <c r="E73"/>
      <c r="F73"/>
      <c r="G73"/>
      <c r="H73"/>
      <c r="I73" s="6"/>
      <c r="J73"/>
      <c r="K73"/>
      <c r="L73" s="9"/>
      <c r="M73" s="9"/>
      <c r="N73"/>
      <c r="O73" s="9"/>
      <c r="P73"/>
      <c r="Q73" s="19"/>
      <c r="R73" s="19"/>
      <c r="S73" s="19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</row>
    <row r="74" spans="1:58" x14ac:dyDescent="0.2">
      <c r="Q74" s="19"/>
      <c r="R74" s="19"/>
      <c r="S74" s="19"/>
    </row>
    <row r="75" spans="1:58" x14ac:dyDescent="0.2">
      <c r="Q75" s="19"/>
      <c r="R75" s="19"/>
      <c r="S75" s="19"/>
    </row>
    <row r="76" spans="1:58" x14ac:dyDescent="0.2">
      <c r="Q76" s="19"/>
      <c r="R76" s="19"/>
      <c r="S76" s="19"/>
    </row>
    <row r="77" spans="1:58" x14ac:dyDescent="0.2">
      <c r="Q77" s="19"/>
      <c r="R77" s="19"/>
      <c r="S77" s="19"/>
    </row>
    <row r="78" spans="1:58" x14ac:dyDescent="0.2">
      <c r="Q78" s="19"/>
      <c r="R78" s="19"/>
      <c r="S78" s="19"/>
    </row>
    <row r="79" spans="1:58" x14ac:dyDescent="0.2">
      <c r="Q79" s="19"/>
      <c r="R79" s="19"/>
      <c r="S79" s="1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Molina</dc:creator>
  <cp:lastModifiedBy>Jacob M. Matthew Molina</cp:lastModifiedBy>
  <dcterms:created xsi:type="dcterms:W3CDTF">2021-06-15T22:43:26Z</dcterms:created>
  <dcterms:modified xsi:type="dcterms:W3CDTF">2023-04-04T17:21:06Z</dcterms:modified>
</cp:coreProperties>
</file>